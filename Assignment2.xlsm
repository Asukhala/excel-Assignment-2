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study\tech\excel\"/>
    </mc:Choice>
  </mc:AlternateContent>
  <xr:revisionPtr revIDLastSave="0" documentId="8_{B9CD12BE-927E-438F-AE26-3D6040A9E86C}" xr6:coauthVersionLast="47" xr6:coauthVersionMax="47" xr10:uidLastSave="{00000000-0000-0000-0000-000000000000}"/>
  <bookViews>
    <workbookView xWindow="-108" yWindow="-108" windowWidth="23256" windowHeight="12576" activeTab="1" xr2:uid="{4E0BEBDB-FF3F-4EEE-9E07-17D3EA72CA2A}"/>
  </bookViews>
  <sheets>
    <sheet name="Macro" sheetId="1" r:id="rId1"/>
    <sheet name="Data analysis" sheetId="3" r:id="rId2"/>
    <sheet name="fuctions" sheetId="4" r:id="rId3"/>
  </sheet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" i="4" l="1"/>
  <c r="F2" i="4"/>
  <c r="F10" i="4"/>
  <c r="F8" i="4"/>
  <c r="F6" i="4"/>
  <c r="F4" i="4"/>
  <c r="A22" i="4"/>
  <c r="A20" i="4"/>
  <c r="A18" i="4"/>
  <c r="A16" i="4"/>
  <c r="A14" i="4"/>
  <c r="A12" i="4"/>
  <c r="A10" i="4"/>
  <c r="A8" i="4"/>
  <c r="A6" i="4"/>
  <c r="A4" i="4"/>
  <c r="A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aman sukhala</author>
  </authors>
  <commentList>
    <comment ref="F15" authorId="0" shapeId="0" xr:uid="{34F78776-6C03-4A97-A437-34E6907F686E}">
      <text>
        <r>
          <rPr>
            <b/>
            <sz val="9"/>
            <color indexed="81"/>
            <rFont val="Tahoma"/>
            <family val="2"/>
          </rPr>
          <t>aman sukhala:</t>
        </r>
        <r>
          <rPr>
            <sz val="9"/>
            <color indexed="81"/>
            <rFont val="Tahoma"/>
            <family val="2"/>
          </rPr>
          <t xml:space="preserve">
Preparing the assignments for the excel.
</t>
        </r>
      </text>
    </comment>
  </commentList>
</comments>
</file>

<file path=xl/sharedStrings.xml><?xml version="1.0" encoding="utf-8"?>
<sst xmlns="http://schemas.openxmlformats.org/spreadsheetml/2006/main" count="37" uniqueCount="31">
  <si>
    <t>Product</t>
  </si>
  <si>
    <t>Price</t>
  </si>
  <si>
    <t>Cold drinks</t>
  </si>
  <si>
    <t>Chocolates</t>
  </si>
  <si>
    <t>Fruity</t>
  </si>
  <si>
    <t>Candies</t>
  </si>
  <si>
    <t>Ice cream</t>
  </si>
  <si>
    <t>Total 'Price' by 'Product'</t>
  </si>
  <si>
    <t>Sum of Price</t>
  </si>
  <si>
    <t>Grand Total</t>
  </si>
  <si>
    <t>Sqrt</t>
  </si>
  <si>
    <t>round</t>
  </si>
  <si>
    <t>Left</t>
  </si>
  <si>
    <t>Prepositions</t>
  </si>
  <si>
    <t>len</t>
  </si>
  <si>
    <t>today</t>
  </si>
  <si>
    <t>year</t>
  </si>
  <si>
    <t>month</t>
  </si>
  <si>
    <t>day</t>
  </si>
  <si>
    <t>networkdays</t>
  </si>
  <si>
    <t>mid</t>
  </si>
  <si>
    <t>search</t>
  </si>
  <si>
    <t xml:space="preserve"> week</t>
  </si>
  <si>
    <t>end</t>
  </si>
  <si>
    <t>concat</t>
  </si>
  <si>
    <t>find</t>
  </si>
  <si>
    <t>product</t>
  </si>
  <si>
    <t>mod</t>
  </si>
  <si>
    <t>Fact</t>
  </si>
  <si>
    <t>round down</t>
  </si>
  <si>
    <t>Annotations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</si>
</sst>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0" xfId="0" applyFont="1" applyFill="1"/>
    <xf numFmtId="0" fontId="0" fillId="3" borderId="0" xfId="0" applyFill="1"/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4" fontId="0" fillId="0" borderId="0" xfId="0" applyNumberFormat="1"/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[Assignment2.xlsm]Data analysis!PivotTable1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'Price' by 'Product'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analysis'!$D$4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'Data analysis'!$C$5:$C$10</c:f>
              <c:strCache>
                <c:ptCount val="5"/>
                <c:pt idx="0">
                  <c:v>Candies</c:v>
                </c:pt>
                <c:pt idx="1">
                  <c:v>Chocolates</c:v>
                </c:pt>
                <c:pt idx="2">
                  <c:v>Cold drinks</c:v>
                </c:pt>
                <c:pt idx="3">
                  <c:v>Fruity</c:v>
                </c:pt>
                <c:pt idx="4">
                  <c:v>Ice cream</c:v>
                </c:pt>
              </c:strCache>
            </c:strRef>
          </c:cat>
          <c:val>
            <c:numRef>
              <c:f>'Data analysis'!$D$5:$D$10</c:f>
              <c:numCache>
                <c:formatCode>General</c:formatCode>
                <c:ptCount val="5"/>
                <c:pt idx="0">
                  <c:v>10</c:v>
                </c:pt>
                <c:pt idx="1">
                  <c:v>100</c:v>
                </c:pt>
                <c:pt idx="2">
                  <c:v>80</c:v>
                </c:pt>
                <c:pt idx="3">
                  <c:v>20</c:v>
                </c:pt>
                <c:pt idx="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14-469D-842A-86E5632B9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overlap val="-30"/>
        <c:axId val="1827361440"/>
        <c:axId val="1827358528"/>
      </c:barChart>
      <c:catAx>
        <c:axId val="1827361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Product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358528"/>
        <c:crosses val="autoZero"/>
        <c:auto val="1"/>
        <c:lblAlgn val="ctr"/>
        <c:lblOffset val="100"/>
        <c:noMultiLvlLbl val="0"/>
      </c:catAx>
      <c:valAx>
        <c:axId val="182735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36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609600</xdr:colOff>
      <xdr:row>10</xdr:row>
      <xdr:rowOff>121920</xdr:rowOff>
    </xdr:from>
    <xdr:to>
      <xdr:col>12</xdr:col>
      <xdr:colOff>594360</xdr:colOff>
      <xdr:row>25</xdr:row>
      <xdr:rowOff>121920</xdr:rowOff>
    </xdr:to>
    <xdr:graphicFrame macro="">
      <xdr:nvGraphicFramePr>
        <xdr:cNvPr id="2" name="Chart 1" descr="Chart type: Clustered Column. 'Price' by 'Product'&#10;&#10;Description automatically generated">
          <a:extLst>
            <a:ext uri="{FF2B5EF4-FFF2-40B4-BE49-F238E27FC236}">
              <a16:creationId xmlns:a16="http://schemas.microsoft.com/office/drawing/2014/main" id="{BAA27326-4095-3688-2925-E38CA7E965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952500</xdr:colOff>
      <xdr:row>13</xdr:row>
      <xdr:rowOff>45720</xdr:rowOff>
    </xdr:from>
    <xdr:to>
      <xdr:col>5</xdr:col>
      <xdr:colOff>1051560</xdr:colOff>
      <xdr:row>13</xdr:row>
      <xdr:rowOff>190500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9C50903B-92DA-6C64-EA5F-1AC679AE02E5}"/>
            </a:ext>
          </a:extLst>
        </xdr:cNvPr>
        <xdr:cNvSpPr/>
      </xdr:nvSpPr>
      <xdr:spPr>
        <a:xfrm>
          <a:off x="4518660" y="2743200"/>
          <a:ext cx="99060" cy="1447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an sukhala" refreshedDate="44925.761446643519" createdVersion="8" refreshedVersion="8" minRefreshableVersion="3" recordCount="5" xr:uid="{37FB8DC1-E622-4B6B-A797-25477B8B68B0}">
  <cacheSource type="worksheet">
    <worksheetSource ref="A1:B6" sheet="Macro"/>
  </cacheSource>
  <cacheFields count="2">
    <cacheField name="Product" numFmtId="0">
      <sharedItems count="5">
        <s v="Cold drinks"/>
        <s v="Chocolates"/>
        <s v="Fruity"/>
        <s v="Candies"/>
        <s v="Ice cream"/>
      </sharedItems>
    </cacheField>
    <cacheField name="Price" numFmtId="0">
      <sharedItems containsSemiMixedTypes="0" containsString="0" containsNumber="1" containsInteger="1" minValue="10" maxValue="100" count="4">
        <n v="80"/>
        <n v="100"/>
        <n v="20"/>
        <n v="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x v="0"/>
  </r>
  <r>
    <x v="1"/>
    <x v="1"/>
  </r>
  <r>
    <x v="2"/>
    <x v="2"/>
  </r>
  <r>
    <x v="3"/>
    <x v="3"/>
  </r>
  <r>
    <x v="4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37FA46-15E0-486F-BD55-2ADBE20D9CF7}" name="PivotTable1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">
  <location ref="C4:D10" firstHeaderRow="1" firstDataRow="1" firstDataCol="1"/>
  <pivotFields count="2">
    <pivotField axis="axisRow" compact="0" outline="0" showAll="0">
      <items count="6">
        <item x="3"/>
        <item x="1"/>
        <item x="0"/>
        <item x="2"/>
        <item x="4"/>
        <item t="default"/>
      </items>
    </pivotField>
    <pivotField dataField="1" compact="0" outline="0" showAll="0">
      <items count="5">
        <item x="3"/>
        <item x="2"/>
        <item x="0"/>
        <item x="1"/>
        <item t="default"/>
      </items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Price" fld="1" baseField="0" baseItem="0"/>
  </dataFields>
  <chartFormats count="5"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59C6C-39E7-4D2D-8F39-1C9D9E335289}">
  <dimension ref="A1:B6"/>
  <sheetViews>
    <sheetView workbookViewId="0">
      <selection sqref="A1:B6"/>
    </sheetView>
  </sheetViews>
  <sheetFormatPr defaultRowHeight="14.4" x14ac:dyDescent="0.3"/>
  <cols>
    <col min="1" max="1" width="10.109375" bestFit="1" customWidth="1"/>
    <col min="3" max="5" width="10.109375" bestFit="1" customWidth="1"/>
    <col min="7" max="13" width="10.109375" bestFit="1" customWidth="1"/>
    <col min="15" max="16" width="10.109375" bestFit="1" customWidth="1"/>
  </cols>
  <sheetData>
    <row r="1" spans="1:2" x14ac:dyDescent="0.3">
      <c r="A1" s="1" t="s">
        <v>0</v>
      </c>
      <c r="B1" s="1" t="s">
        <v>1</v>
      </c>
    </row>
    <row r="2" spans="1:2" x14ac:dyDescent="0.3">
      <c r="A2" s="2" t="s">
        <v>2</v>
      </c>
      <c r="B2" s="2">
        <v>80</v>
      </c>
    </row>
    <row r="3" spans="1:2" x14ac:dyDescent="0.3">
      <c r="A3" s="2" t="s">
        <v>3</v>
      </c>
      <c r="B3" s="2">
        <v>100</v>
      </c>
    </row>
    <row r="4" spans="1:2" x14ac:dyDescent="0.3">
      <c r="A4" s="2" t="s">
        <v>4</v>
      </c>
      <c r="B4" s="2">
        <v>20</v>
      </c>
    </row>
    <row r="5" spans="1:2" x14ac:dyDescent="0.3">
      <c r="A5" s="2" t="s">
        <v>5</v>
      </c>
      <c r="B5" s="2">
        <v>10</v>
      </c>
    </row>
    <row r="6" spans="1:2" x14ac:dyDescent="0.3">
      <c r="A6" s="2" t="s">
        <v>6</v>
      </c>
      <c r="B6" s="2">
        <v>100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73AB4-C2C8-4F03-81E9-B635E6DCA2D7}">
  <dimension ref="B2:D10"/>
  <sheetViews>
    <sheetView showGridLines="0" tabSelected="1" workbookViewId="0">
      <selection activeCell="C14" sqref="C14"/>
    </sheetView>
  </sheetViews>
  <sheetFormatPr defaultRowHeight="14.4" x14ac:dyDescent="0.3"/>
  <cols>
    <col min="2" max="2" width="3.6640625" customWidth="1"/>
    <col min="3" max="3" width="10.77734375" bestFit="1" customWidth="1"/>
    <col min="4" max="4" width="11.5546875" bestFit="1" customWidth="1"/>
    <col min="5" max="8" width="10.33203125" bestFit="1" customWidth="1"/>
    <col min="9" max="9" width="10.77734375" bestFit="1" customWidth="1"/>
    <col min="10" max="10" width="7.77734375" bestFit="1" customWidth="1"/>
    <col min="11" max="11" width="10.44140625" bestFit="1" customWidth="1"/>
    <col min="12" max="12" width="9.5546875" bestFit="1" customWidth="1"/>
    <col min="13" max="13" width="12.21875" bestFit="1" customWidth="1"/>
    <col min="14" max="14" width="10.77734375" bestFit="1" customWidth="1"/>
  </cols>
  <sheetData>
    <row r="2" spans="2:4" x14ac:dyDescent="0.3">
      <c r="B2" s="3" t="s">
        <v>7</v>
      </c>
    </row>
    <row r="4" spans="2:4" x14ac:dyDescent="0.3">
      <c r="C4" s="5" t="s">
        <v>0</v>
      </c>
      <c r="D4" t="s">
        <v>8</v>
      </c>
    </row>
    <row r="5" spans="2:4" x14ac:dyDescent="0.3">
      <c r="C5" t="s">
        <v>5</v>
      </c>
      <c r="D5" s="4">
        <v>10</v>
      </c>
    </row>
    <row r="6" spans="2:4" x14ac:dyDescent="0.3">
      <c r="C6" t="s">
        <v>3</v>
      </c>
      <c r="D6" s="4">
        <v>100</v>
      </c>
    </row>
    <row r="7" spans="2:4" x14ac:dyDescent="0.3">
      <c r="C7" t="s">
        <v>2</v>
      </c>
      <c r="D7" s="4">
        <v>80</v>
      </c>
    </row>
    <row r="8" spans="2:4" x14ac:dyDescent="0.3">
      <c r="C8" t="s">
        <v>4</v>
      </c>
      <c r="D8" s="4">
        <v>20</v>
      </c>
    </row>
    <row r="9" spans="2:4" x14ac:dyDescent="0.3">
      <c r="C9" t="s">
        <v>6</v>
      </c>
      <c r="D9" s="4">
        <v>100</v>
      </c>
    </row>
    <row r="10" spans="2:4" x14ac:dyDescent="0.3">
      <c r="C10" t="s">
        <v>9</v>
      </c>
      <c r="D10" s="4">
        <v>310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7DA7C-2164-4B22-BE93-54A20E95807D}">
  <dimension ref="A1:F23"/>
  <sheetViews>
    <sheetView zoomScaleNormal="100" workbookViewId="0">
      <selection activeCell="H13" sqref="H13"/>
    </sheetView>
  </sheetViews>
  <sheetFormatPr defaultRowHeight="14.4" x14ac:dyDescent="0.3"/>
  <cols>
    <col min="1" max="1" width="14.77734375" bestFit="1" customWidth="1"/>
    <col min="2" max="2" width="10.5546875" bestFit="1" customWidth="1"/>
    <col min="6" max="6" width="16" customWidth="1"/>
  </cols>
  <sheetData>
    <row r="1" spans="1:6" ht="18" x14ac:dyDescent="0.35">
      <c r="A1" s="7" t="s">
        <v>10</v>
      </c>
      <c r="F1" s="7" t="s">
        <v>28</v>
      </c>
    </row>
    <row r="2" spans="1:6" x14ac:dyDescent="0.3">
      <c r="A2">
        <f>SQRT(14)</f>
        <v>3.7416573867739413</v>
      </c>
      <c r="F2">
        <f>FACT(C21)</f>
        <v>120</v>
      </c>
    </row>
    <row r="3" spans="1:6" ht="18" x14ac:dyDescent="0.35">
      <c r="A3" s="7" t="s">
        <v>11</v>
      </c>
      <c r="F3" s="7" t="s">
        <v>24</v>
      </c>
    </row>
    <row r="4" spans="1:6" x14ac:dyDescent="0.3">
      <c r="A4">
        <f>ROUND(45.123,2)</f>
        <v>45.12</v>
      </c>
      <c r="F4" t="str">
        <f>_xlfn.CONCAT(C5,D5)</f>
        <v xml:space="preserve"> weekend</v>
      </c>
    </row>
    <row r="5" spans="1:6" ht="18" x14ac:dyDescent="0.35">
      <c r="A5" s="7" t="s">
        <v>12</v>
      </c>
      <c r="B5" t="s">
        <v>13</v>
      </c>
      <c r="C5" t="s">
        <v>22</v>
      </c>
      <c r="D5" t="s">
        <v>23</v>
      </c>
      <c r="F5" s="7" t="s">
        <v>25</v>
      </c>
    </row>
    <row r="6" spans="1:6" x14ac:dyDescent="0.3">
      <c r="A6" t="str">
        <f>LEFT(B5,5)</f>
        <v>Prepo</v>
      </c>
      <c r="F6">
        <f>FIND("e",B5)</f>
        <v>3</v>
      </c>
    </row>
    <row r="7" spans="1:6" ht="18" x14ac:dyDescent="0.35">
      <c r="A7" s="7" t="s">
        <v>14</v>
      </c>
      <c r="F7" s="7" t="s">
        <v>26</v>
      </c>
    </row>
    <row r="8" spans="1:6" x14ac:dyDescent="0.3">
      <c r="A8">
        <f>LEN(B5)</f>
        <v>12</v>
      </c>
      <c r="F8">
        <f>PRODUCT(C19:C23)</f>
        <v>70560</v>
      </c>
    </row>
    <row r="9" spans="1:6" ht="18" x14ac:dyDescent="0.35">
      <c r="A9" s="7" t="s">
        <v>15</v>
      </c>
      <c r="F9" s="7" t="s">
        <v>27</v>
      </c>
    </row>
    <row r="10" spans="1:6" x14ac:dyDescent="0.3">
      <c r="A10" s="6">
        <f ca="1">TODAY()</f>
        <v>44925</v>
      </c>
      <c r="B10" s="6">
        <v>44925</v>
      </c>
      <c r="F10">
        <f>MOD(C22,C21)</f>
        <v>1</v>
      </c>
    </row>
    <row r="11" spans="1:6" ht="18" x14ac:dyDescent="0.35">
      <c r="A11" s="7" t="s">
        <v>16</v>
      </c>
      <c r="B11" s="6">
        <v>45290</v>
      </c>
      <c r="F11" s="7" t="s">
        <v>29</v>
      </c>
    </row>
    <row r="12" spans="1:6" x14ac:dyDescent="0.3">
      <c r="A12">
        <f ca="1">YEAR(TODAY())</f>
        <v>2022</v>
      </c>
      <c r="F12">
        <f>ROUNDDOWN(45.123,2)</f>
        <v>45.12</v>
      </c>
    </row>
    <row r="13" spans="1:6" ht="18" x14ac:dyDescent="0.35">
      <c r="A13" s="7" t="s">
        <v>17</v>
      </c>
    </row>
    <row r="14" spans="1:6" ht="18" x14ac:dyDescent="0.35">
      <c r="A14">
        <f ca="1">MONTH(TODAY())</f>
        <v>12</v>
      </c>
      <c r="F14" s="7" t="s">
        <v>30</v>
      </c>
    </row>
    <row r="15" spans="1:6" ht="18" x14ac:dyDescent="0.35">
      <c r="A15" s="7" t="s">
        <v>18</v>
      </c>
    </row>
    <row r="16" spans="1:6" x14ac:dyDescent="0.3">
      <c r="A16">
        <f ca="1">DAY(TODAY())</f>
        <v>30</v>
      </c>
    </row>
    <row r="17" spans="1:3" ht="18" x14ac:dyDescent="0.35">
      <c r="A17" s="7" t="s">
        <v>19</v>
      </c>
    </row>
    <row r="18" spans="1:3" x14ac:dyDescent="0.3">
      <c r="A18">
        <f>NETWORKDAYS(B10,B11,30)</f>
        <v>261</v>
      </c>
    </row>
    <row r="19" spans="1:3" ht="18" x14ac:dyDescent="0.35">
      <c r="A19" s="7" t="s">
        <v>20</v>
      </c>
      <c r="C19">
        <v>1</v>
      </c>
    </row>
    <row r="20" spans="1:3" x14ac:dyDescent="0.3">
      <c r="A20" t="str">
        <f>MID(B5,5,5)</f>
        <v>ositi</v>
      </c>
      <c r="C20">
        <v>3</v>
      </c>
    </row>
    <row r="21" spans="1:3" ht="18" x14ac:dyDescent="0.35">
      <c r="A21" s="7" t="s">
        <v>21</v>
      </c>
      <c r="C21">
        <v>5</v>
      </c>
    </row>
    <row r="22" spans="1:3" x14ac:dyDescent="0.3">
      <c r="A22">
        <f>SEARCH("os",B5)</f>
        <v>5</v>
      </c>
      <c r="C22">
        <v>56</v>
      </c>
    </row>
    <row r="23" spans="1:3" x14ac:dyDescent="0.3">
      <c r="C23">
        <v>84</v>
      </c>
    </row>
  </sheetData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Macro</vt:lpstr>
      <vt:lpstr>Data analysis</vt:lpstr>
      <vt:lpstr>fuctions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aman sukhala</dc:creator>
  <cp:lastModifiedBy>aman sukhala</cp:lastModifiedBy>
  <dcterms:created xsi:type="dcterms:W3CDTF">2022-12-30T17:58:46Z</dcterms:created>
  <dcterms:modified xsi:type="dcterms:W3CDTF">2022-12-30T19:51:05Z</dcterms:modified>
</cp:coreProperties>
</file>